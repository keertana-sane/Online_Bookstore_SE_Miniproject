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ummary" sheetId="2" state="visible" r:id="rId4"/>
  </sheets>
  <definedNames>
    <definedName function="false" hidden="true" localSheetId="0" name="_xlnm._FilterDatabase" vbProcedure="false">Backlog!$A$1:$H$49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<sst xmlns="http://schemas.openxmlformats.org/spreadsheetml/2006/main" count="311" uniqueCount="206">
  <si>
    <t xml:space="preserve">ID</t>
  </si>
  <si>
    <t xml:space="preserve">Story</t>
  </si>
  <si>
    <t xml:space="preserve">Epic</t>
  </si>
  <si>
    <t xml:space="preserve">SRS requirement</t>
  </si>
  <si>
    <t xml:space="preserve">Assignee</t>
  </si>
  <si>
    <t xml:space="preserve">Story points</t>
  </si>
  <si>
    <t xml:space="preserve">Sprint</t>
  </si>
  <si>
    <t xml:space="preserve">Acceptance criteria</t>
  </si>
  <si>
    <t xml:space="preserve">BK-01</t>
  </si>
  <si>
    <t xml:space="preserve">Project scaffold: React (Vite) + Express + Mongoose, ESLint, .env.example, module folders</t>
  </si>
  <si>
    <t xml:space="preserve">DevOps</t>
  </si>
  <si>
    <t xml:space="preserve">NFR-005</t>
  </si>
  <si>
    <t xml:space="preserve">Bhuvan Raj H</t>
  </si>
  <si>
    <t xml:space="preserve">App boots locally; folders follow SAD 4.1 (routes/controllers -&gt; services -&gt; repositories); no secrets committed</t>
  </si>
  <si>
    <t xml:space="preserve">BK-02</t>
  </si>
  <si>
    <t xml:space="preserve">GitHub Actions CI: lint + tests on every PR</t>
  </si>
  <si>
    <t xml:space="preserve">Workflow runs on pull_request; failing lint/test blocks merge</t>
  </si>
  <si>
    <t xml:space="preserve">BK-03</t>
  </si>
  <si>
    <t xml:space="preserve">Seed script: 1,000 books, 3 customers, 1 admin</t>
  </si>
  <si>
    <t xml:space="preserve">STP 6</t>
  </si>
  <si>
    <t xml:space="preserve">Anushka P</t>
  </si>
  <si>
    <t xml:space="preserve">One command seeds the DB; books span Fiction, Non-fiction, Academic</t>
  </si>
  <si>
    <t xml:space="preserve">BK-04</t>
  </si>
  <si>
    <t xml:space="preserve">Register API with unique email and bcrypt password hash</t>
  </si>
  <si>
    <t xml:space="preserve">Auth &amp; Security</t>
  </si>
  <si>
    <t xml:space="preserve">FR-001, SEC-001</t>
  </si>
  <si>
    <t xml:space="preserve">Bhagath Naveen Mullakara</t>
  </si>
  <si>
    <t xml:space="preserve">201 on success; 409 EMAIL_EXISTS; stored hash is 60-char bcrypt; 8-char min password</t>
  </si>
  <si>
    <t xml:space="preserve">BK-05</t>
  </si>
  <si>
    <t xml:space="preserve">Login API issuing JWT (role claim, 1 h expiry)</t>
  </si>
  <si>
    <t xml:space="preserve">FR-002</t>
  </si>
  <si>
    <t xml:space="preserve">200 with token/role/expiresIn; 401 generic message on bad credentials</t>
  </si>
  <si>
    <t xml:space="preserve">BK-06</t>
  </si>
  <si>
    <t xml:space="preserve">Register / Login UI</t>
  </si>
  <si>
    <t xml:space="preserve">FR-001, FR-002</t>
  </si>
  <si>
    <t xml:space="preserve">Customer can register, log in, log out; token kept in session storage</t>
  </si>
  <si>
    <t xml:space="preserve">BK-07</t>
  </si>
  <si>
    <t xml:space="preserve">JWT verification middleware</t>
  </si>
  <si>
    <t xml:space="preserve">SEC-004</t>
  </si>
  <si>
    <t xml:space="preserve">Missing/expired/tampered token returns 401 on protected routes</t>
  </si>
  <si>
    <t xml:space="preserve">BK-08</t>
  </si>
  <si>
    <t xml:space="preserve">RBAC middleware for /admin routes</t>
  </si>
  <si>
    <t xml:space="preserve">SEC-002</t>
  </si>
  <si>
    <t xml:space="preserve">Customer token gets 403 on every /admin endpoint</t>
  </si>
  <si>
    <t xml:space="preserve">BK-09</t>
  </si>
  <si>
    <t xml:space="preserve">Sprint 1 demo video (1 min) uploaded to repo</t>
  </si>
  <si>
    <t xml:space="preserve">Docs &amp; Demo</t>
  </si>
  <si>
    <t xml:space="preserve">Deliverable 2</t>
  </si>
  <si>
    <t xml:space="preserve">Video shows working product; file committed to repo</t>
  </si>
  <si>
    <t xml:space="preserve">BK-10</t>
  </si>
  <si>
    <t xml:space="preserve">Browse catalog API (public, paginated, limit &lt;= 50)</t>
  </si>
  <si>
    <t xml:space="preserve">Catalog &amp; Search</t>
  </si>
  <si>
    <t xml:space="preserve">FR-003</t>
  </si>
  <si>
    <t xml:space="preserve">GET /books works without login; limit 51 rejected or capped</t>
  </si>
  <si>
    <t xml:space="preserve">BK-11</t>
  </si>
  <si>
    <t xml:space="preserve">Search by title, author or category</t>
  </si>
  <si>
    <t xml:space="preserve">FR-004</t>
  </si>
  <si>
    <t xml:space="preserve">Matching books only; no-match returns empty list; injection payloads treated as text</t>
  </si>
  <si>
    <t xml:space="preserve">BK-12</t>
  </si>
  <si>
    <t xml:space="preserve">Book detail API and page</t>
  </si>
  <si>
    <t xml:space="preserve">FR-005</t>
  </si>
  <si>
    <t xml:space="preserve">Shows title, author, category, price, stock status, description, cover; 404 for unknown/disabled</t>
  </si>
  <si>
    <t xml:space="preserve">BK-13</t>
  </si>
  <si>
    <t xml:space="preserve">Catalog UI: home, search results, book cards, out-of-stock label</t>
  </si>
  <si>
    <t xml:space="preserve">FR-003, FR-005</t>
  </si>
  <si>
    <t xml:space="preserve">Responsive; Add to cart disabled when stock = 0</t>
  </si>
  <si>
    <t xml:space="preserve">BK-14</t>
  </si>
  <si>
    <t xml:space="preserve">Add in-stock book to cart (login required)</t>
  </si>
  <si>
    <t xml:space="preserve">Cart &amp; Checkout</t>
  </si>
  <si>
    <t xml:space="preserve">FR-006</t>
  </si>
  <si>
    <t xml:space="preserve">B S Keertana</t>
  </si>
  <si>
    <t xml:space="preserve">Out-of-stock gives 409; unauthenticated gives 401</t>
  </si>
  <si>
    <t xml:space="preserve">BK-15</t>
  </si>
  <si>
    <t xml:space="preserve">Update quantity / remove cart item</t>
  </si>
  <si>
    <t xml:space="preserve">FR-007</t>
  </si>
  <si>
    <t xml:space="preserve">Qty 0/-1 gives 422; qty above stock gives 409</t>
  </si>
  <si>
    <t xml:space="preserve">BK-16</t>
  </si>
  <si>
    <t xml:space="preserve">Cart total calculation (price x quantity)</t>
  </si>
  <si>
    <t xml:space="preserve">FR-008</t>
  </si>
  <si>
    <t xml:space="preserve">Example 2x499.00 + 1x250.50 = 1248.50; empty cart = 0.00</t>
  </si>
  <si>
    <t xml:space="preserve">BK-17</t>
  </si>
  <si>
    <t xml:space="preserve">Cart UI</t>
  </si>
  <si>
    <t xml:space="preserve">FR-006, FR-007, FR-008</t>
  </si>
  <si>
    <t xml:space="preserve">Edit qty, remove items, see total</t>
  </si>
  <si>
    <t xml:space="preserve">BK-18</t>
  </si>
  <si>
    <t xml:space="preserve">Payment adapter + mock payment service (SUCCESS / DECLINED / TIMEOUT)</t>
  </si>
  <si>
    <t xml:space="preserve">FR-016, NFR-006</t>
  </si>
  <si>
    <t xml:space="preserve">Adapter interface stubbed in tests; no card data anywhere</t>
  </si>
  <si>
    <t xml:space="preserve">BK-19</t>
  </si>
  <si>
    <t xml:space="preserve">Checkout API: validation, unique order number, stock reservation</t>
  </si>
  <si>
    <t xml:space="preserve">FR-009, FR-010</t>
  </si>
  <si>
    <t xml:space="preserve">Empty cart/missing address rejected; address &lt;= 300 chars; order number unique; decline creates no confirmed order</t>
  </si>
  <si>
    <t xml:space="preserve">BK-20</t>
  </si>
  <si>
    <t xml:space="preserve">Admin: add / edit / disable books API</t>
  </si>
  <si>
    <t xml:space="preserve">Admin</t>
  </si>
  <si>
    <t xml:space="preserve">FR-013</t>
  </si>
  <si>
    <t xml:space="preserve">Admin only; invalid data gives 422; disabled books hidden from customers</t>
  </si>
  <si>
    <t xml:space="preserve">BK-21</t>
  </si>
  <si>
    <t xml:space="preserve">Admin: update stock quantity API</t>
  </si>
  <si>
    <t xml:space="preserve">FR-014</t>
  </si>
  <si>
    <t xml:space="preserve">Stock &gt;= 0; negative gives 422</t>
  </si>
  <si>
    <t xml:space="preserve">BK-22</t>
  </si>
  <si>
    <t xml:space="preserve">Admin catalog management UI</t>
  </si>
  <si>
    <t xml:space="preserve">FR-013, FR-014</t>
  </si>
  <si>
    <t xml:space="preserve">Add, edit, disable, stock update from dashboard</t>
  </si>
  <si>
    <t xml:space="preserve">BK-23</t>
  </si>
  <si>
    <t xml:space="preserve">Input validation and sanitisation (express-validator, mongo-sanitize, length limits)</t>
  </si>
  <si>
    <t xml:space="preserve">SEC-003</t>
  </si>
  <si>
    <t xml:space="preserve">Operator injection and script payloads neutralised; limits per SRS Appendix B</t>
  </si>
  <si>
    <t xml:space="preserve">BK-24</t>
  </si>
  <si>
    <t xml:space="preserve">Central error envelope, helmet headers, request logging</t>
  </si>
  <si>
    <t xml:space="preserve">SEC-003, SEC-006</t>
  </si>
  <si>
    <t xml:space="preserve">All errors use standard envelope; no stack traces to clients</t>
  </si>
  <si>
    <t xml:space="preserve">BK-25</t>
  </si>
  <si>
    <t xml:space="preserve">Security event logging and login rate limit</t>
  </si>
  <si>
    <t xml:space="preserve">SEC-006</t>
  </si>
  <si>
    <t xml:space="preserve">Failed login/unauthorised access logged; 11th login in 15 min gives 429</t>
  </si>
  <si>
    <t xml:space="preserve">BK-26</t>
  </si>
  <si>
    <t xml:space="preserve">Verify no payment card data stored (schema/log review)</t>
  </si>
  <si>
    <t xml:space="preserve">SEC-005</t>
  </si>
  <si>
    <t xml:space="preserve">Only paymentStatus and paymentRef persisted</t>
  </si>
  <si>
    <t xml:space="preserve">BK-27</t>
  </si>
  <si>
    <t xml:space="preserve">Auth and security tests (TC-AUTH, TC-SEC)</t>
  </si>
  <si>
    <t xml:space="preserve">Testing</t>
  </si>
  <si>
    <t xml:space="preserve">SEC-001..006</t>
  </si>
  <si>
    <t xml:space="preserve">Tests run in CI and pass</t>
  </si>
  <si>
    <t xml:space="preserve">BK-28</t>
  </si>
  <si>
    <t xml:space="preserve">Update SRS/SAD/RTM for Auth module; document deviations</t>
  </si>
  <si>
    <t xml:space="preserve">Deviations written down for final demo</t>
  </si>
  <si>
    <t xml:space="preserve">BK-29</t>
  </si>
  <si>
    <t xml:space="preserve">Search performance: indexes + JMeter plan (50 users)</t>
  </si>
  <si>
    <t xml:space="preserve">NFR-001</t>
  </si>
  <si>
    <t xml:space="preserve">p95 &lt;= 1.5 s, error rate &lt; 1%</t>
  </si>
  <si>
    <t xml:space="preserve">BK-30</t>
  </si>
  <si>
    <t xml:space="preserve">Catalog tests (TC-CAT)</t>
  </si>
  <si>
    <t xml:space="preserve">FR-003..005</t>
  </si>
  <si>
    <t xml:space="preserve">BK-31</t>
  </si>
  <si>
    <t xml:space="preserve">Postman collection run in CI</t>
  </si>
  <si>
    <t xml:space="preserve">SAD 3.7</t>
  </si>
  <si>
    <t xml:space="preserve">Collection covers main endpoints; Newman step in workflow</t>
  </si>
  <si>
    <t xml:space="preserve">BK-32</t>
  </si>
  <si>
    <t xml:space="preserve">Health endpoint (/health) and uptime check</t>
  </si>
  <si>
    <t xml:space="preserve">NFR-002</t>
  </si>
  <si>
    <t xml:space="preserve">GET /health returns 200, 503 when DB is down; uptime log kept</t>
  </si>
  <si>
    <t xml:space="preserve">BK-33</t>
  </si>
  <si>
    <t xml:space="preserve">Usability walkthrough: order in &lt;= 5 screens</t>
  </si>
  <si>
    <t xml:space="preserve">NFR-003</t>
  </si>
  <si>
    <t xml:space="preserve">Results recorded for test users</t>
  </si>
  <si>
    <t xml:space="preserve">BK-34</t>
  </si>
  <si>
    <t xml:space="preserve">Update docs for Catalog module; document deviations</t>
  </si>
  <si>
    <t xml:space="preserve">BK-35</t>
  </si>
  <si>
    <t xml:space="preserve">Sprint 2 demo video (2 min) uploaded to repo</t>
  </si>
  <si>
    <t xml:space="preserve">Working product; file committed to repo</t>
  </si>
  <si>
    <t xml:space="preserve">BK-36</t>
  </si>
  <si>
    <t xml:space="preserve">Idempotency-Key on POST /orders (retry-safe)</t>
  </si>
  <si>
    <t xml:space="preserve">NFR-004</t>
  </si>
  <si>
    <t xml:space="preserve">Retry after timeout yields exactly one order; replay returns 200</t>
  </si>
  <si>
    <t xml:space="preserve">BK-37</t>
  </si>
  <si>
    <t xml:space="preserve">Order history and order detail (own orders only)</t>
  </si>
  <si>
    <t xml:space="preserve">FR-012</t>
  </si>
  <si>
    <t xml:space="preserve">Other customer's order gives 404; empty history handled</t>
  </si>
  <si>
    <t xml:space="preserve">BK-38</t>
  </si>
  <si>
    <t xml:space="preserve">Customer cancels own PLACED order (stock restored)</t>
  </si>
  <si>
    <t xml:space="preserve">SRS 6.5</t>
  </si>
  <si>
    <t xml:space="preserve">Cancel after PROCESSING gives 409</t>
  </si>
  <si>
    <t xml:space="preserve">BK-39</t>
  </si>
  <si>
    <t xml:space="preserve">Checkout, confirmation and order history UI</t>
  </si>
  <si>
    <t xml:space="preserve">FR-009, FR-012, NFR-003</t>
  </si>
  <si>
    <t xml:space="preserve">Basic purchase within 5 primary screens</t>
  </si>
  <si>
    <t xml:space="preserve">BK-40</t>
  </si>
  <si>
    <t xml:space="preserve">Cart and order tests (TC-CART, TC-ORD, TC-TRK, TC-TST)</t>
  </si>
  <si>
    <t xml:space="preserve">FR-006..012, NFR-004</t>
  </si>
  <si>
    <t xml:space="preserve">BK-41</t>
  </si>
  <si>
    <t xml:space="preserve">Update docs for Cart &amp; Checkout; document deviations</t>
  </si>
  <si>
    <t xml:space="preserve">BK-42</t>
  </si>
  <si>
    <t xml:space="preserve">Order status state machine (PLACED..CANCELLED)</t>
  </si>
  <si>
    <t xml:space="preserve">FR-011</t>
  </si>
  <si>
    <t xml:space="preserve">Invalid transition gives 409; statusHistory records actor/time</t>
  </si>
  <si>
    <t xml:space="preserve">BK-43</t>
  </si>
  <si>
    <t xml:space="preserve">Admin order list and status update API</t>
  </si>
  <si>
    <t xml:space="preserve">FR-015</t>
  </si>
  <si>
    <t xml:space="preserve">Filter by status; customer sees staff-set status</t>
  </si>
  <si>
    <t xml:space="preserve">BK-44</t>
  </si>
  <si>
    <t xml:space="preserve">Admin order management UI</t>
  </si>
  <si>
    <t xml:space="preserve">Incoming orders and status update from dashboard</t>
  </si>
  <si>
    <t xml:space="preserve">BK-45</t>
  </si>
  <si>
    <t xml:space="preserve">Dockerfile + docker-compose</t>
  </si>
  <si>
    <t xml:space="preserve">App and DB start with one command</t>
  </si>
  <si>
    <t xml:space="preserve">BK-46</t>
  </si>
  <si>
    <t xml:space="preserve">Static analysis and npm audit in CI</t>
  </si>
  <si>
    <t xml:space="preserve">SAD 3.9</t>
  </si>
  <si>
    <t xml:space="preserve">Scan step in workflow</t>
  </si>
  <si>
    <t xml:space="preserve">BK-47</t>
  </si>
  <si>
    <t xml:space="preserve">Admin tests (TC-ADM) and development freeze</t>
  </si>
  <si>
    <t xml:space="preserve">FR-013..015</t>
  </si>
  <si>
    <t xml:space="preserve">Tests pass; main frozen at end of Sprint 2</t>
  </si>
  <si>
    <t xml:space="preserve">BK-48</t>
  </si>
  <si>
    <t xml:space="preserve">Update docs for Admin module; document deviations</t>
  </si>
  <si>
    <t xml:space="preserve">Story points per person per sprint</t>
  </si>
  <si>
    <t xml:space="preserve">Sprint 1</t>
  </si>
  <si>
    <t xml:space="preserve">Sprint 2</t>
  </si>
  <si>
    <t xml:space="preserve">Total</t>
  </si>
  <si>
    <t xml:space="preserve">Team total</t>
  </si>
  <si>
    <t xml:space="preserve">Stories per sprint</t>
  </si>
  <si>
    <t xml:space="preserve">Requirements coverage check: FR-001..FR-016, NFR-001..006 and SEC-001..006 each appear in the Backlog 'SRS requirement' column.</t>
  </si>
  <si>
    <t xml:space="preserve">Assumption: story points use a 1-2-3-5 scale (blue cells in Backlog are editable); sprint capacity target is about 17-20 points per person. Estimates are the team's to confirm.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</si>
</sst>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6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3</v>
      </c>
      <c r="G2" s="3" t="n">
        <v>1</v>
      </c>
      <c r="H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10</v>
      </c>
      <c r="D3" s="2" t="s">
        <v>11</v>
      </c>
      <c r="E3" s="2" t="s">
        <v>12</v>
      </c>
      <c r="F3" s="3" t="n">
        <v>3</v>
      </c>
      <c r="G3" s="3" t="n">
        <v>1</v>
      </c>
      <c r="H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10</v>
      </c>
      <c r="D4" s="2" t="s">
        <v>19</v>
      </c>
      <c r="E4" s="2" t="s">
        <v>20</v>
      </c>
      <c r="F4" s="3" t="n">
        <v>3</v>
      </c>
      <c r="G4" s="3" t="n">
        <v>1</v>
      </c>
      <c r="H4" s="2" t="s">
        <v>21</v>
      </c>
    </row>
    <row r="5" customFormat="false" ht="23.8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 t="n">
        <v>5</v>
      </c>
      <c r="G5" s="3" t="n">
        <v>1</v>
      </c>
      <c r="H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24</v>
      </c>
      <c r="D6" s="2" t="s">
        <v>30</v>
      </c>
      <c r="E6" s="2" t="s">
        <v>26</v>
      </c>
      <c r="F6" s="3" t="n">
        <v>3</v>
      </c>
      <c r="G6" s="3" t="n">
        <v>1</v>
      </c>
      <c r="H6" s="2" t="s">
        <v>31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24</v>
      </c>
      <c r="D7" s="2" t="s">
        <v>34</v>
      </c>
      <c r="E7" s="2" t="s">
        <v>26</v>
      </c>
      <c r="F7" s="3" t="n">
        <v>3</v>
      </c>
      <c r="G7" s="3" t="n">
        <v>1</v>
      </c>
      <c r="H7" s="2" t="s">
        <v>35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24</v>
      </c>
      <c r="D8" s="2" t="s">
        <v>38</v>
      </c>
      <c r="E8" s="2" t="s">
        <v>26</v>
      </c>
      <c r="F8" s="3" t="n">
        <v>3</v>
      </c>
      <c r="G8" s="3" t="n">
        <v>1</v>
      </c>
      <c r="H8" s="2" t="s">
        <v>39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24</v>
      </c>
      <c r="D9" s="2" t="s">
        <v>42</v>
      </c>
      <c r="E9" s="2" t="s">
        <v>26</v>
      </c>
      <c r="F9" s="3" t="n">
        <v>2</v>
      </c>
      <c r="G9" s="3" t="n">
        <v>1</v>
      </c>
      <c r="H9" s="2" t="s">
        <v>43</v>
      </c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26</v>
      </c>
      <c r="F10" s="3" t="n">
        <v>1</v>
      </c>
      <c r="G10" s="3" t="n">
        <v>1</v>
      </c>
      <c r="H10" s="2" t="s">
        <v>48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20</v>
      </c>
      <c r="F11" s="3" t="n">
        <v>3</v>
      </c>
      <c r="G11" s="3" t="n">
        <v>1</v>
      </c>
      <c r="H11" s="2" t="s">
        <v>53</v>
      </c>
    </row>
    <row r="12" customFormat="false" ht="23.85" hidden="false" customHeight="false" outlineLevel="0" collapsed="false">
      <c r="A12" s="2" t="s">
        <v>54</v>
      </c>
      <c r="B12" s="2" t="s">
        <v>55</v>
      </c>
      <c r="C12" s="2" t="s">
        <v>51</v>
      </c>
      <c r="D12" s="2" t="s">
        <v>56</v>
      </c>
      <c r="E12" s="2" t="s">
        <v>20</v>
      </c>
      <c r="F12" s="3" t="n">
        <v>5</v>
      </c>
      <c r="G12" s="3" t="n">
        <v>1</v>
      </c>
      <c r="H12" s="2" t="s">
        <v>57</v>
      </c>
    </row>
    <row r="13" customFormat="false" ht="23.85" hidden="false" customHeight="false" outlineLevel="0" collapsed="false">
      <c r="A13" s="2" t="s">
        <v>58</v>
      </c>
      <c r="B13" s="2" t="s">
        <v>59</v>
      </c>
      <c r="C13" s="2" t="s">
        <v>51</v>
      </c>
      <c r="D13" s="2" t="s">
        <v>60</v>
      </c>
      <c r="E13" s="2" t="s">
        <v>20</v>
      </c>
      <c r="F13" s="3" t="n">
        <v>3</v>
      </c>
      <c r="G13" s="3" t="n">
        <v>1</v>
      </c>
      <c r="H13" s="2" t="s">
        <v>61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51</v>
      </c>
      <c r="D14" s="2" t="s">
        <v>64</v>
      </c>
      <c r="E14" s="2" t="s">
        <v>20</v>
      </c>
      <c r="F14" s="3" t="n">
        <v>5</v>
      </c>
      <c r="G14" s="3" t="n">
        <v>1</v>
      </c>
      <c r="H14" s="2" t="s">
        <v>65</v>
      </c>
    </row>
    <row r="15" customFormat="false" ht="15" hidden="false" customHeight="false" outlineLevel="0" collapsed="false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3" t="n">
        <v>3</v>
      </c>
      <c r="G15" s="3" t="n">
        <v>1</v>
      </c>
      <c r="H15" s="2" t="s">
        <v>71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68</v>
      </c>
      <c r="D16" s="2" t="s">
        <v>74</v>
      </c>
      <c r="E16" s="2" t="s">
        <v>70</v>
      </c>
      <c r="F16" s="3" t="n">
        <v>2</v>
      </c>
      <c r="G16" s="3" t="n">
        <v>1</v>
      </c>
      <c r="H16" s="2" t="s">
        <v>75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68</v>
      </c>
      <c r="D17" s="2" t="s">
        <v>78</v>
      </c>
      <c r="E17" s="2" t="s">
        <v>70</v>
      </c>
      <c r="F17" s="3" t="n">
        <v>2</v>
      </c>
      <c r="G17" s="3" t="n">
        <v>1</v>
      </c>
      <c r="H17" s="2" t="s">
        <v>79</v>
      </c>
    </row>
    <row r="18" customFormat="false" ht="23.85" hidden="false" customHeight="false" outlineLevel="0" collapsed="false">
      <c r="A18" s="2" t="s">
        <v>80</v>
      </c>
      <c r="B18" s="2" t="s">
        <v>81</v>
      </c>
      <c r="C18" s="2" t="s">
        <v>68</v>
      </c>
      <c r="D18" s="2" t="s">
        <v>82</v>
      </c>
      <c r="E18" s="2" t="s">
        <v>70</v>
      </c>
      <c r="F18" s="3" t="n">
        <v>3</v>
      </c>
      <c r="G18" s="3" t="n">
        <v>1</v>
      </c>
      <c r="H18" s="2" t="s">
        <v>83</v>
      </c>
    </row>
    <row r="19" customFormat="false" ht="23.85" hidden="false" customHeight="false" outlineLevel="0" collapsed="false">
      <c r="A19" s="2" t="s">
        <v>84</v>
      </c>
      <c r="B19" s="2" t="s">
        <v>85</v>
      </c>
      <c r="C19" s="2" t="s">
        <v>68</v>
      </c>
      <c r="D19" s="2" t="s">
        <v>86</v>
      </c>
      <c r="E19" s="2" t="s">
        <v>70</v>
      </c>
      <c r="F19" s="3" t="n">
        <v>3</v>
      </c>
      <c r="G19" s="3" t="n">
        <v>1</v>
      </c>
      <c r="H19" s="2" t="s">
        <v>87</v>
      </c>
    </row>
    <row r="20" customFormat="false" ht="23.85" hidden="false" customHeight="false" outlineLevel="0" collapsed="false">
      <c r="A20" s="2" t="s">
        <v>88</v>
      </c>
      <c r="B20" s="2" t="s">
        <v>89</v>
      </c>
      <c r="C20" s="2" t="s">
        <v>68</v>
      </c>
      <c r="D20" s="2" t="s">
        <v>90</v>
      </c>
      <c r="E20" s="2" t="s">
        <v>70</v>
      </c>
      <c r="F20" s="3" t="n">
        <v>5</v>
      </c>
      <c r="G20" s="3" t="n">
        <v>1</v>
      </c>
      <c r="H20" s="2" t="s">
        <v>91</v>
      </c>
    </row>
    <row r="21" customFormat="false" ht="15" hidden="false" customHeight="false" outlineLevel="0" collapsed="false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12</v>
      </c>
      <c r="F21" s="3" t="n">
        <v>5</v>
      </c>
      <c r="G21" s="3" t="n">
        <v>1</v>
      </c>
      <c r="H21" s="2" t="s">
        <v>96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94</v>
      </c>
      <c r="D22" s="2" t="s">
        <v>99</v>
      </c>
      <c r="E22" s="2" t="s">
        <v>12</v>
      </c>
      <c r="F22" s="3" t="n">
        <v>2</v>
      </c>
      <c r="G22" s="3" t="n">
        <v>1</v>
      </c>
      <c r="H22" s="2" t="s">
        <v>100</v>
      </c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94</v>
      </c>
      <c r="D23" s="2" t="s">
        <v>103</v>
      </c>
      <c r="E23" s="2" t="s">
        <v>12</v>
      </c>
      <c r="F23" s="3" t="n">
        <v>5</v>
      </c>
      <c r="G23" s="3" t="n">
        <v>1</v>
      </c>
      <c r="H23" s="2" t="s">
        <v>104</v>
      </c>
    </row>
    <row r="24" customFormat="false" ht="23.85" hidden="false" customHeight="false" outlineLevel="0" collapsed="false">
      <c r="A24" s="2" t="s">
        <v>105</v>
      </c>
      <c r="B24" s="2" t="s">
        <v>106</v>
      </c>
      <c r="C24" s="2" t="s">
        <v>24</v>
      </c>
      <c r="D24" s="2" t="s">
        <v>107</v>
      </c>
      <c r="E24" s="2" t="s">
        <v>26</v>
      </c>
      <c r="F24" s="3" t="n">
        <v>5</v>
      </c>
      <c r="G24" s="3" t="n">
        <v>2</v>
      </c>
      <c r="H24" s="2" t="s">
        <v>108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24</v>
      </c>
      <c r="D25" s="2" t="s">
        <v>111</v>
      </c>
      <c r="E25" s="2" t="s">
        <v>26</v>
      </c>
      <c r="F25" s="3" t="n">
        <v>3</v>
      </c>
      <c r="G25" s="3" t="n">
        <v>2</v>
      </c>
      <c r="H25" s="2" t="s">
        <v>112</v>
      </c>
    </row>
    <row r="26" customFormat="false" ht="15" hidden="false" customHeight="false" outlineLevel="0" collapsed="false">
      <c r="A26" s="2" t="s">
        <v>113</v>
      </c>
      <c r="B26" s="2" t="s">
        <v>114</v>
      </c>
      <c r="C26" s="2" t="s">
        <v>24</v>
      </c>
      <c r="D26" s="2" t="s">
        <v>115</v>
      </c>
      <c r="E26" s="2" t="s">
        <v>26</v>
      </c>
      <c r="F26" s="3" t="n">
        <v>3</v>
      </c>
      <c r="G26" s="3" t="n">
        <v>2</v>
      </c>
      <c r="H26" s="2" t="s">
        <v>116</v>
      </c>
    </row>
    <row r="27" customFormat="false" ht="15" hidden="false" customHeight="false" outlineLevel="0" collapsed="false">
      <c r="A27" s="2" t="s">
        <v>117</v>
      </c>
      <c r="B27" s="2" t="s">
        <v>118</v>
      </c>
      <c r="C27" s="2" t="s">
        <v>24</v>
      </c>
      <c r="D27" s="2" t="s">
        <v>119</v>
      </c>
      <c r="E27" s="2" t="s">
        <v>26</v>
      </c>
      <c r="F27" s="3" t="n">
        <v>1</v>
      </c>
      <c r="G27" s="3" t="n">
        <v>2</v>
      </c>
      <c r="H27" s="2" t="s">
        <v>120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26</v>
      </c>
      <c r="F28" s="3" t="n">
        <v>3</v>
      </c>
      <c r="G28" s="3" t="n">
        <v>2</v>
      </c>
      <c r="H28" s="2" t="s">
        <v>125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46</v>
      </c>
      <c r="D29" s="2" t="s">
        <v>47</v>
      </c>
      <c r="E29" s="2" t="s">
        <v>26</v>
      </c>
      <c r="F29" s="3" t="n">
        <v>2</v>
      </c>
      <c r="G29" s="3" t="n">
        <v>2</v>
      </c>
      <c r="H29" s="2" t="s">
        <v>128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51</v>
      </c>
      <c r="D30" s="2" t="s">
        <v>131</v>
      </c>
      <c r="E30" s="2" t="s">
        <v>20</v>
      </c>
      <c r="F30" s="3" t="n">
        <v>5</v>
      </c>
      <c r="G30" s="3" t="n">
        <v>2</v>
      </c>
      <c r="H30" s="2" t="s">
        <v>132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123</v>
      </c>
      <c r="D31" s="2" t="s">
        <v>135</v>
      </c>
      <c r="E31" s="2" t="s">
        <v>20</v>
      </c>
      <c r="F31" s="3" t="n">
        <v>3</v>
      </c>
      <c r="G31" s="3" t="n">
        <v>2</v>
      </c>
      <c r="H31" s="2" t="s">
        <v>125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123</v>
      </c>
      <c r="D32" s="2" t="s">
        <v>138</v>
      </c>
      <c r="E32" s="2" t="s">
        <v>20</v>
      </c>
      <c r="F32" s="3" t="n">
        <v>3</v>
      </c>
      <c r="G32" s="3" t="n">
        <v>2</v>
      </c>
      <c r="H32" s="2" t="s">
        <v>139</v>
      </c>
    </row>
    <row r="33" customFormat="false" ht="15" hidden="false" customHeight="false" outlineLevel="0" collapsed="false">
      <c r="A33" s="2" t="s">
        <v>140</v>
      </c>
      <c r="B33" s="2" t="s">
        <v>141</v>
      </c>
      <c r="C33" s="2" t="s">
        <v>10</v>
      </c>
      <c r="D33" s="2" t="s">
        <v>142</v>
      </c>
      <c r="E33" s="2" t="s">
        <v>20</v>
      </c>
      <c r="F33" s="3" t="n">
        <v>2</v>
      </c>
      <c r="G33" s="3" t="n">
        <v>2</v>
      </c>
      <c r="H33" s="2" t="s">
        <v>143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123</v>
      </c>
      <c r="D34" s="2" t="s">
        <v>146</v>
      </c>
      <c r="E34" s="2" t="s">
        <v>20</v>
      </c>
      <c r="F34" s="3" t="n">
        <v>2</v>
      </c>
      <c r="G34" s="3" t="n">
        <v>2</v>
      </c>
      <c r="H34" s="2" t="s">
        <v>147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46</v>
      </c>
      <c r="D35" s="2" t="s">
        <v>47</v>
      </c>
      <c r="E35" s="2" t="s">
        <v>20</v>
      </c>
      <c r="F35" s="3" t="n">
        <v>2</v>
      </c>
      <c r="G35" s="3" t="n">
        <v>2</v>
      </c>
      <c r="H35" s="2" t="s">
        <v>128</v>
      </c>
    </row>
    <row r="36" customFormat="false" ht="15" hidden="false" customHeight="false" outlineLevel="0" collapsed="false">
      <c r="A36" s="2" t="s">
        <v>150</v>
      </c>
      <c r="B36" s="2" t="s">
        <v>151</v>
      </c>
      <c r="C36" s="2" t="s">
        <v>46</v>
      </c>
      <c r="D36" s="2" t="s">
        <v>47</v>
      </c>
      <c r="E36" s="2" t="s">
        <v>20</v>
      </c>
      <c r="F36" s="3" t="n">
        <v>1</v>
      </c>
      <c r="G36" s="3" t="n">
        <v>2</v>
      </c>
      <c r="H36" s="2" t="s">
        <v>152</v>
      </c>
    </row>
    <row r="37" customFormat="false" ht="15" hidden="false" customHeight="false" outlineLevel="0" collapsed="false">
      <c r="A37" s="2" t="s">
        <v>153</v>
      </c>
      <c r="B37" s="2" t="s">
        <v>154</v>
      </c>
      <c r="C37" s="2" t="s">
        <v>68</v>
      </c>
      <c r="D37" s="2" t="s">
        <v>155</v>
      </c>
      <c r="E37" s="2" t="s">
        <v>70</v>
      </c>
      <c r="F37" s="3" t="n">
        <v>5</v>
      </c>
      <c r="G37" s="3" t="n">
        <v>2</v>
      </c>
      <c r="H37" s="2" t="s">
        <v>156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68</v>
      </c>
      <c r="D38" s="2" t="s">
        <v>159</v>
      </c>
      <c r="E38" s="2" t="s">
        <v>70</v>
      </c>
      <c r="F38" s="3" t="n">
        <v>3</v>
      </c>
      <c r="G38" s="3" t="n">
        <v>2</v>
      </c>
      <c r="H38" s="2" t="s">
        <v>160</v>
      </c>
    </row>
    <row r="39" customFormat="false" ht="15" hidden="false" customHeight="false" outlineLevel="0" collapsed="false">
      <c r="A39" s="2" t="s">
        <v>161</v>
      </c>
      <c r="B39" s="2" t="s">
        <v>162</v>
      </c>
      <c r="C39" s="2" t="s">
        <v>68</v>
      </c>
      <c r="D39" s="2" t="s">
        <v>163</v>
      </c>
      <c r="E39" s="2" t="s">
        <v>70</v>
      </c>
      <c r="F39" s="3" t="n">
        <v>2</v>
      </c>
      <c r="G39" s="3" t="n">
        <v>2</v>
      </c>
      <c r="H39" s="2" t="s">
        <v>164</v>
      </c>
    </row>
    <row r="40" customFormat="false" ht="23.85" hidden="false" customHeight="false" outlineLevel="0" collapsed="false">
      <c r="A40" s="2" t="s">
        <v>165</v>
      </c>
      <c r="B40" s="2" t="s">
        <v>166</v>
      </c>
      <c r="C40" s="2" t="s">
        <v>68</v>
      </c>
      <c r="D40" s="2" t="s">
        <v>167</v>
      </c>
      <c r="E40" s="2" t="s">
        <v>70</v>
      </c>
      <c r="F40" s="3" t="n">
        <v>5</v>
      </c>
      <c r="G40" s="3" t="n">
        <v>2</v>
      </c>
      <c r="H40" s="2" t="s">
        <v>168</v>
      </c>
    </row>
    <row r="41" customFormat="false" ht="15" hidden="false" customHeight="false" outlineLevel="0" collapsed="false">
      <c r="A41" s="2" t="s">
        <v>169</v>
      </c>
      <c r="B41" s="2" t="s">
        <v>170</v>
      </c>
      <c r="C41" s="2" t="s">
        <v>123</v>
      </c>
      <c r="D41" s="2" t="s">
        <v>171</v>
      </c>
      <c r="E41" s="2" t="s">
        <v>70</v>
      </c>
      <c r="F41" s="3" t="n">
        <v>3</v>
      </c>
      <c r="G41" s="3" t="n">
        <v>2</v>
      </c>
      <c r="H41" s="2" t="s">
        <v>125</v>
      </c>
    </row>
    <row r="42" customFormat="false" ht="15" hidden="false" customHeight="false" outlineLevel="0" collapsed="false">
      <c r="A42" s="2" t="s">
        <v>172</v>
      </c>
      <c r="B42" s="2" t="s">
        <v>173</v>
      </c>
      <c r="C42" s="2" t="s">
        <v>46</v>
      </c>
      <c r="D42" s="2" t="s">
        <v>47</v>
      </c>
      <c r="E42" s="2" t="s">
        <v>70</v>
      </c>
      <c r="F42" s="3" t="n">
        <v>2</v>
      </c>
      <c r="G42" s="3" t="n">
        <v>2</v>
      </c>
      <c r="H42" s="2" t="s">
        <v>128</v>
      </c>
    </row>
    <row r="43" customFormat="false" ht="15" hidden="false" customHeight="false" outlineLevel="0" collapsed="false">
      <c r="A43" s="2" t="s">
        <v>174</v>
      </c>
      <c r="B43" s="2" t="s">
        <v>175</v>
      </c>
      <c r="C43" s="2" t="s">
        <v>94</v>
      </c>
      <c r="D43" s="2" t="s">
        <v>176</v>
      </c>
      <c r="E43" s="2" t="s">
        <v>12</v>
      </c>
      <c r="F43" s="3" t="n">
        <v>3</v>
      </c>
      <c r="G43" s="3" t="n">
        <v>2</v>
      </c>
      <c r="H43" s="2" t="s">
        <v>177</v>
      </c>
    </row>
    <row r="44" customFormat="false" ht="15" hidden="false" customHeight="false" outlineLevel="0" collapsed="false">
      <c r="A44" s="2" t="s">
        <v>178</v>
      </c>
      <c r="B44" s="2" t="s">
        <v>179</v>
      </c>
      <c r="C44" s="2" t="s">
        <v>94</v>
      </c>
      <c r="D44" s="2" t="s">
        <v>180</v>
      </c>
      <c r="E44" s="2" t="s">
        <v>12</v>
      </c>
      <c r="F44" s="3" t="n">
        <v>5</v>
      </c>
      <c r="G44" s="3" t="n">
        <v>2</v>
      </c>
      <c r="H44" s="2" t="s">
        <v>181</v>
      </c>
    </row>
    <row r="45" customFormat="false" ht="15" hidden="false" customHeight="false" outlineLevel="0" collapsed="false">
      <c r="A45" s="2" t="s">
        <v>182</v>
      </c>
      <c r="B45" s="2" t="s">
        <v>183</v>
      </c>
      <c r="C45" s="2" t="s">
        <v>94</v>
      </c>
      <c r="D45" s="2" t="s">
        <v>180</v>
      </c>
      <c r="E45" s="2" t="s">
        <v>12</v>
      </c>
      <c r="F45" s="3" t="n">
        <v>3</v>
      </c>
      <c r="G45" s="3" t="n">
        <v>2</v>
      </c>
      <c r="H45" s="2" t="s">
        <v>184</v>
      </c>
    </row>
    <row r="46" customFormat="false" ht="15" hidden="false" customHeight="false" outlineLevel="0" collapsed="false">
      <c r="A46" s="2" t="s">
        <v>185</v>
      </c>
      <c r="B46" s="2" t="s">
        <v>186</v>
      </c>
      <c r="C46" s="2" t="s">
        <v>10</v>
      </c>
      <c r="D46" s="2" t="s">
        <v>19</v>
      </c>
      <c r="E46" s="2" t="s">
        <v>12</v>
      </c>
      <c r="F46" s="3" t="n">
        <v>3</v>
      </c>
      <c r="G46" s="3" t="n">
        <v>2</v>
      </c>
      <c r="H46" s="2" t="s">
        <v>187</v>
      </c>
    </row>
    <row r="47" customFormat="false" ht="15" hidden="false" customHeight="false" outlineLevel="0" collapsed="false">
      <c r="A47" s="2" t="s">
        <v>188</v>
      </c>
      <c r="B47" s="2" t="s">
        <v>189</v>
      </c>
      <c r="C47" s="2" t="s">
        <v>10</v>
      </c>
      <c r="D47" s="2" t="s">
        <v>190</v>
      </c>
      <c r="E47" s="2" t="s">
        <v>26</v>
      </c>
      <c r="F47" s="3" t="n">
        <v>2</v>
      </c>
      <c r="G47" s="3" t="n">
        <v>2</v>
      </c>
      <c r="H47" s="2" t="s">
        <v>191</v>
      </c>
    </row>
    <row r="48" customFormat="false" ht="15" hidden="false" customHeight="false" outlineLevel="0" collapsed="false">
      <c r="A48" s="2" t="s">
        <v>192</v>
      </c>
      <c r="B48" s="2" t="s">
        <v>193</v>
      </c>
      <c r="C48" s="2" t="s">
        <v>123</v>
      </c>
      <c r="D48" s="2" t="s">
        <v>194</v>
      </c>
      <c r="E48" s="2" t="s">
        <v>12</v>
      </c>
      <c r="F48" s="3" t="n">
        <v>3</v>
      </c>
      <c r="G48" s="3" t="n">
        <v>2</v>
      </c>
      <c r="H48" s="2" t="s">
        <v>195</v>
      </c>
    </row>
    <row r="49" customFormat="false" ht="15" hidden="false" customHeight="false" outlineLevel="0" collapsed="false">
      <c r="A49" s="2" t="s">
        <v>196</v>
      </c>
      <c r="B49" s="2" t="s">
        <v>197</v>
      </c>
      <c r="C49" s="2" t="s">
        <v>46</v>
      </c>
      <c r="D49" s="2" t="s">
        <v>47</v>
      </c>
      <c r="E49" s="2" t="s">
        <v>12</v>
      </c>
      <c r="F49" s="3" t="n">
        <v>2</v>
      </c>
      <c r="G49" s="3" t="n">
        <v>2</v>
      </c>
      <c r="H49" s="2" t="s">
        <v>128</v>
      </c>
    </row>
  </sheetData>
  <autoFilter ref="A1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4" t="s">
        <v>198</v>
      </c>
      <c r="B1" s="5"/>
      <c r="C1" s="5"/>
      <c r="D1" s="5"/>
    </row>
    <row r="2" customFormat="false" ht="15" hidden="false" customHeight="false" outlineLevel="0" collapsed="false">
      <c r="A2" s="6" t="s">
        <v>4</v>
      </c>
      <c r="B2" s="6" t="s">
        <v>199</v>
      </c>
      <c r="C2" s="6" t="s">
        <v>200</v>
      </c>
      <c r="D2" s="6" t="s">
        <v>201</v>
      </c>
    </row>
    <row r="3" customFormat="false" ht="15" hidden="false" customHeight="false" outlineLevel="0" collapsed="false">
      <c r="A3" s="5" t="s">
        <v>20</v>
      </c>
      <c r="B3" s="5" t="n">
        <f aca="false">SUMIFS(Backlog!$F$2:$F$49,Backlog!$E$2:$E$49,$A3,Backlog!$G$2:$G$49,1)</f>
        <v>19</v>
      </c>
      <c r="C3" s="5" t="n">
        <f aca="false">SUMIFS(Backlog!$F$2:$F$49,Backlog!$E$2:$E$49,$A3,Backlog!$G$2:$G$49,2)</f>
        <v>18</v>
      </c>
      <c r="D3" s="5" t="n">
        <f aca="false">B3+C3</f>
        <v>37</v>
      </c>
    </row>
    <row r="4" customFormat="false" ht="15" hidden="false" customHeight="false" outlineLevel="0" collapsed="false">
      <c r="A4" s="5" t="s">
        <v>70</v>
      </c>
      <c r="B4" s="5" t="n">
        <f aca="false">SUMIFS(Backlog!$F$2:$F$49,Backlog!$E$2:$E$49,$A4,Backlog!$G$2:$G$49,1)</f>
        <v>18</v>
      </c>
      <c r="C4" s="5" t="n">
        <f aca="false">SUMIFS(Backlog!$F$2:$F$49,Backlog!$E$2:$E$49,$A4,Backlog!$G$2:$G$49,2)</f>
        <v>20</v>
      </c>
      <c r="D4" s="5" t="n">
        <f aca="false">B4+C4</f>
        <v>38</v>
      </c>
    </row>
    <row r="5" customFormat="false" ht="15" hidden="false" customHeight="false" outlineLevel="0" collapsed="false">
      <c r="A5" s="5" t="s">
        <v>26</v>
      </c>
      <c r="B5" s="5" t="n">
        <f aca="false">SUMIFS(Backlog!$F$2:$F$49,Backlog!$E$2:$E$49,$A5,Backlog!$G$2:$G$49,1)</f>
        <v>17</v>
      </c>
      <c r="C5" s="5" t="n">
        <f aca="false">SUMIFS(Backlog!$F$2:$F$49,Backlog!$E$2:$E$49,$A5,Backlog!$G$2:$G$49,2)</f>
        <v>19</v>
      </c>
      <c r="D5" s="5" t="n">
        <f aca="false">B5+C5</f>
        <v>36</v>
      </c>
    </row>
    <row r="6" customFormat="false" ht="15" hidden="false" customHeight="false" outlineLevel="0" collapsed="false">
      <c r="A6" s="5" t="s">
        <v>12</v>
      </c>
      <c r="B6" s="5" t="n">
        <f aca="false">SUMIFS(Backlog!$F$2:$F$49,Backlog!$E$2:$E$49,$A6,Backlog!$G$2:$G$49,1)</f>
        <v>18</v>
      </c>
      <c r="C6" s="5" t="n">
        <f aca="false">SUMIFS(Backlog!$F$2:$F$49,Backlog!$E$2:$E$49,$A6,Backlog!$G$2:$G$49,2)</f>
        <v>19</v>
      </c>
      <c r="D6" s="5" t="n">
        <f aca="false">B6+C6</f>
        <v>37</v>
      </c>
    </row>
    <row r="7" customFormat="false" ht="15" hidden="false" customHeight="false" outlineLevel="0" collapsed="false">
      <c r="A7" s="6" t="s">
        <v>202</v>
      </c>
      <c r="B7" s="6" t="n">
        <f aca="false">SUM(B3:B6)</f>
        <v>72</v>
      </c>
      <c r="C7" s="6" t="n">
        <f aca="false">SUM(C3:C6)</f>
        <v>76</v>
      </c>
      <c r="D7" s="6" t="n">
        <f aca="false">SUM(D3:D6)</f>
        <v>148</v>
      </c>
    </row>
    <row r="8" customFormat="false" ht="15" hidden="false" customHeight="false" outlineLevel="0" collapsed="false">
      <c r="A8" s="5"/>
      <c r="B8" s="5"/>
      <c r="C8" s="5"/>
      <c r="D8" s="5"/>
    </row>
    <row r="9" customFormat="false" ht="15" hidden="false" customHeight="false" outlineLevel="0" collapsed="false">
      <c r="A9" s="5" t="s">
        <v>203</v>
      </c>
      <c r="B9" s="5"/>
      <c r="C9" s="5"/>
      <c r="D9" s="5"/>
    </row>
    <row r="10" customFormat="false" ht="15" hidden="false" customHeight="false" outlineLevel="0" collapsed="false">
      <c r="A10" s="5" t="s">
        <v>199</v>
      </c>
      <c r="B10" s="5" t="n">
        <f aca="false">COUNTIF(Backlog!$G$2:$G$49,1)</f>
        <v>22</v>
      </c>
      <c r="C10" s="5"/>
      <c r="D10" s="5"/>
    </row>
    <row r="11" customFormat="false" ht="15" hidden="false" customHeight="false" outlineLevel="0" collapsed="false">
      <c r="A11" s="5" t="s">
        <v>200</v>
      </c>
      <c r="B11" s="5" t="n">
        <f aca="false">COUNTIF(Backlog!$G$2:$G$49,2)</f>
        <v>26</v>
      </c>
      <c r="C11" s="5"/>
      <c r="D11" s="5"/>
    </row>
    <row r="12" customFormat="false" ht="15" hidden="false" customHeight="false" outlineLevel="0" collapsed="false">
      <c r="A12" s="5"/>
      <c r="B12" s="5"/>
      <c r="C12" s="5"/>
      <c r="D12" s="5"/>
    </row>
    <row r="13" customFormat="false" ht="15" hidden="false" customHeight="false" outlineLevel="0" collapsed="false">
      <c r="A13" s="5" t="s">
        <v>204</v>
      </c>
      <c r="B13" s="5"/>
      <c r="C13" s="5"/>
      <c r="D13" s="5"/>
    </row>
    <row r="14" customFormat="false" ht="15" hidden="false" customHeight="false" outlineLevel="0" collapsed="false">
      <c r="A14" s="5" t="s">
        <v>205</v>
      </c>
      <c r="B14" s="5"/>
      <c r="C14" s="5"/>
      <c r="D1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2026-10-13T06:20:10Z</dcterms:created>
  <dc:creator>openpyxl</dc:creator>
  <dc:description/>
  <dc:language>en-US</dc:language>
  <cp:lastModifiedBy/>
  <dcterms:modified xsi:type="dcterms:W3CDTF">2026-10-13T06:20:10Z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